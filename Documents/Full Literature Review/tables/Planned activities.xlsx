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iete\Desktop\Skripsie\Proposal\tables\"/>
    </mc:Choice>
  </mc:AlternateContent>
  <xr:revisionPtr revIDLastSave="0" documentId="13_ncr:1_{A7EFEFE1-1A52-439B-B6DD-C88B84822A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I18" i="1"/>
  <c r="H18" i="1"/>
  <c r="G18" i="1"/>
  <c r="F18" i="1"/>
  <c r="E18" i="1"/>
  <c r="K6" i="1"/>
  <c r="K7" i="1"/>
  <c r="K8" i="1"/>
  <c r="K9" i="1"/>
  <c r="K10" i="1"/>
  <c r="K11" i="1"/>
  <c r="K12" i="1"/>
  <c r="K15" i="1"/>
  <c r="K16" i="1"/>
  <c r="K5" i="1"/>
  <c r="I14" i="1"/>
  <c r="K14" i="1" s="1"/>
  <c r="I13" i="1"/>
  <c r="C18" i="1"/>
  <c r="D18" i="1" s="1"/>
  <c r="D7" i="1"/>
  <c r="D8" i="1"/>
  <c r="D9" i="1"/>
  <c r="D10" i="1"/>
  <c r="D11" i="1"/>
  <c r="D12" i="1"/>
  <c r="D13" i="1"/>
  <c r="K13" i="1" s="1"/>
  <c r="D14" i="1"/>
  <c r="D15" i="1"/>
  <c r="D16" i="1"/>
  <c r="D17" i="1"/>
  <c r="K17" i="1" s="1"/>
  <c r="D6" i="1"/>
  <c r="D5" i="1"/>
  <c r="K18" i="1" l="1"/>
</calcChain>
</file>

<file path=xl/sharedStrings.xml><?xml version="1.0" encoding="utf-8"?>
<sst xmlns="http://schemas.openxmlformats.org/spreadsheetml/2006/main" count="33" uniqueCount="25">
  <si>
    <t>Activity</t>
  </si>
  <si>
    <t>Engineering Time</t>
  </si>
  <si>
    <t>Running Cost</t>
  </si>
  <si>
    <t>Facility Use</t>
  </si>
  <si>
    <t>Capital Cost</t>
  </si>
  <si>
    <t>MMW</t>
  </si>
  <si>
    <t>Total</t>
  </si>
  <si>
    <t>Labour</t>
  </si>
  <si>
    <t>Material</t>
  </si>
  <si>
    <t>hr</t>
  </si>
  <si>
    <t xml:space="preserve">R </t>
  </si>
  <si>
    <t>R</t>
  </si>
  <si>
    <t>Literature Review</t>
  </si>
  <si>
    <t>Component Review</t>
  </si>
  <si>
    <t>Compile Design Requirements for Laparoscope</t>
  </si>
  <si>
    <t>Generate Concept Design for Laparoscope</t>
  </si>
  <si>
    <t>Finalise Detail Design for Laparoscope</t>
  </si>
  <si>
    <t>Compile Design Requirements for Test Station</t>
  </si>
  <si>
    <t>Generate Concept Design for Test Station</t>
  </si>
  <si>
    <t>Finalise Detail Design for Test Station</t>
  </si>
  <si>
    <t>Constuct and Implement Laparoscope</t>
  </si>
  <si>
    <t>Construct Test Station</t>
  </si>
  <si>
    <t>Perform Functionality Test</t>
  </si>
  <si>
    <t>Evaluate Laparoscope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</si>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</sst>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8"/>
  <sheetViews>
    <sheetView tabSelected="1" workbookViewId="0">
      <selection activeCell="P12" sqref="P12"/>
    </sheetView>
  </sheetViews>
  <sheetFormatPr defaultRowHeight="14.4" x14ac:dyDescent="0.3"/>
  <cols>
    <col min="1" max="1" width="8.88671875" style="1"/>
    <col min="2" max="2" width="21.6640625" style="1" customWidth="1"/>
    <col min="3" max="10" width="8.88671875" style="1"/>
    <col min="11" max="11" width="8.88671875" style="2"/>
    <col min="12" max="16384" width="8.88671875" style="1"/>
  </cols>
  <sheetData>
    <row r="2" spans="2:11" x14ac:dyDescent="0.3">
      <c r="B2" s="3" t="s">
        <v>0</v>
      </c>
      <c r="C2" s="4" t="s">
        <v>1</v>
      </c>
      <c r="D2" s="4"/>
      <c r="E2" s="4" t="s">
        <v>2</v>
      </c>
      <c r="F2" s="4" t="s">
        <v>3</v>
      </c>
      <c r="G2" s="4" t="s">
        <v>4</v>
      </c>
      <c r="H2" s="4" t="s">
        <v>5</v>
      </c>
      <c r="I2" s="4"/>
      <c r="J2" s="5" t="s">
        <v>5</v>
      </c>
      <c r="K2" s="4" t="s">
        <v>6</v>
      </c>
    </row>
    <row r="3" spans="2:11" x14ac:dyDescent="0.3">
      <c r="B3" s="3"/>
      <c r="C3" s="4"/>
      <c r="D3" s="4"/>
      <c r="E3" s="4"/>
      <c r="F3" s="4"/>
      <c r="G3" s="4"/>
      <c r="H3" s="4" t="s">
        <v>7</v>
      </c>
      <c r="I3" s="4"/>
      <c r="J3" s="5" t="s">
        <v>8</v>
      </c>
      <c r="K3" s="4"/>
    </row>
    <row r="4" spans="2:11" x14ac:dyDescent="0.3">
      <c r="B4" s="6"/>
      <c r="C4" s="5" t="s">
        <v>9</v>
      </c>
      <c r="D4" s="5" t="s">
        <v>10</v>
      </c>
      <c r="E4" s="5" t="s">
        <v>11</v>
      </c>
      <c r="F4" s="5" t="s">
        <v>11</v>
      </c>
      <c r="G4" s="5" t="s">
        <v>11</v>
      </c>
      <c r="H4" s="5" t="s">
        <v>9</v>
      </c>
      <c r="I4" s="5" t="s">
        <v>11</v>
      </c>
      <c r="J4" s="5" t="s">
        <v>11</v>
      </c>
      <c r="K4" s="5" t="s">
        <v>11</v>
      </c>
    </row>
    <row r="5" spans="2:11" x14ac:dyDescent="0.3">
      <c r="B5" s="7" t="s">
        <v>12</v>
      </c>
      <c r="C5" s="7">
        <v>15</v>
      </c>
      <c r="D5" s="7">
        <f>C5*450</f>
        <v>6750</v>
      </c>
      <c r="E5" s="7">
        <v>150</v>
      </c>
      <c r="F5" s="7"/>
      <c r="G5" s="7"/>
      <c r="H5" s="7"/>
      <c r="I5" s="7"/>
      <c r="J5" s="7"/>
      <c r="K5" s="8">
        <f>SUM(D5,E5,F5,G5,I5,J5)</f>
        <v>6900</v>
      </c>
    </row>
    <row r="6" spans="2:11" x14ac:dyDescent="0.3">
      <c r="B6" s="7" t="s">
        <v>13</v>
      </c>
      <c r="C6" s="7">
        <v>20</v>
      </c>
      <c r="D6" s="7">
        <f>C6*450</f>
        <v>9000</v>
      </c>
      <c r="E6" s="7">
        <v>150</v>
      </c>
      <c r="F6" s="7"/>
      <c r="G6" s="7"/>
      <c r="H6" s="7"/>
      <c r="I6" s="7"/>
      <c r="J6" s="7"/>
      <c r="K6" s="8">
        <f t="shared" ref="K6:K17" si="0">SUM(D6,E6,F6,G6,I6,J6)</f>
        <v>9150</v>
      </c>
    </row>
    <row r="7" spans="2:11" ht="43.2" x14ac:dyDescent="0.3">
      <c r="B7" s="7" t="s">
        <v>14</v>
      </c>
      <c r="C7" s="7">
        <v>20</v>
      </c>
      <c r="D7" s="7">
        <f t="shared" ref="D7:D18" si="1">C7*450</f>
        <v>9000</v>
      </c>
      <c r="E7" s="7">
        <v>150</v>
      </c>
      <c r="F7" s="7"/>
      <c r="G7" s="7"/>
      <c r="H7" s="7"/>
      <c r="I7" s="7"/>
      <c r="J7" s="7"/>
      <c r="K7" s="8">
        <f t="shared" si="0"/>
        <v>9150</v>
      </c>
    </row>
    <row r="8" spans="2:11" ht="28.8" x14ac:dyDescent="0.3">
      <c r="B8" s="7" t="s">
        <v>15</v>
      </c>
      <c r="C8" s="7">
        <v>35</v>
      </c>
      <c r="D8" s="7">
        <f t="shared" si="1"/>
        <v>15750</v>
      </c>
      <c r="E8" s="7">
        <v>150</v>
      </c>
      <c r="F8" s="7"/>
      <c r="G8" s="7"/>
      <c r="H8" s="7"/>
      <c r="I8" s="7"/>
      <c r="J8" s="7"/>
      <c r="K8" s="8">
        <f t="shared" si="0"/>
        <v>15900</v>
      </c>
    </row>
    <row r="9" spans="2:11" ht="28.8" x14ac:dyDescent="0.3">
      <c r="B9" s="7" t="s">
        <v>16</v>
      </c>
      <c r="C9" s="7">
        <v>40</v>
      </c>
      <c r="D9" s="7">
        <f t="shared" si="1"/>
        <v>18000</v>
      </c>
      <c r="E9" s="7">
        <v>150</v>
      </c>
      <c r="F9" s="7"/>
      <c r="G9" s="7"/>
      <c r="H9" s="7"/>
      <c r="I9" s="7"/>
      <c r="J9" s="7"/>
      <c r="K9" s="8">
        <f t="shared" si="0"/>
        <v>18150</v>
      </c>
    </row>
    <row r="10" spans="2:11" ht="43.2" x14ac:dyDescent="0.3">
      <c r="B10" s="7" t="s">
        <v>17</v>
      </c>
      <c r="C10" s="7">
        <v>20</v>
      </c>
      <c r="D10" s="7">
        <f t="shared" si="1"/>
        <v>9000</v>
      </c>
      <c r="E10" s="7">
        <v>150</v>
      </c>
      <c r="F10" s="7"/>
      <c r="G10" s="7"/>
      <c r="H10" s="7"/>
      <c r="I10" s="7"/>
      <c r="J10" s="7"/>
      <c r="K10" s="8">
        <f t="shared" si="0"/>
        <v>9150</v>
      </c>
    </row>
    <row r="11" spans="2:11" ht="28.8" x14ac:dyDescent="0.3">
      <c r="B11" s="7" t="s">
        <v>18</v>
      </c>
      <c r="C11" s="7">
        <v>30</v>
      </c>
      <c r="D11" s="7">
        <f t="shared" si="1"/>
        <v>13500</v>
      </c>
      <c r="E11" s="7">
        <v>150</v>
      </c>
      <c r="F11" s="7"/>
      <c r="G11" s="7"/>
      <c r="H11" s="7"/>
      <c r="I11" s="7"/>
      <c r="J11" s="7"/>
      <c r="K11" s="8">
        <f t="shared" si="0"/>
        <v>13650</v>
      </c>
    </row>
    <row r="12" spans="2:11" ht="28.8" x14ac:dyDescent="0.3">
      <c r="B12" s="7" t="s">
        <v>19</v>
      </c>
      <c r="C12" s="7">
        <v>40</v>
      </c>
      <c r="D12" s="7">
        <f t="shared" si="1"/>
        <v>18000</v>
      </c>
      <c r="E12" s="7">
        <v>150</v>
      </c>
      <c r="F12" s="7"/>
      <c r="G12" s="7"/>
      <c r="H12" s="7"/>
      <c r="I12" s="7"/>
      <c r="J12" s="7"/>
      <c r="K12" s="8">
        <f t="shared" si="0"/>
        <v>18150</v>
      </c>
    </row>
    <row r="13" spans="2:11" ht="28.8" x14ac:dyDescent="0.3">
      <c r="B13" s="7" t="s">
        <v>20</v>
      </c>
      <c r="C13" s="7">
        <v>95</v>
      </c>
      <c r="D13" s="7">
        <f t="shared" si="1"/>
        <v>42750</v>
      </c>
      <c r="E13" s="7">
        <v>600</v>
      </c>
      <c r="F13" s="7">
        <v>6000</v>
      </c>
      <c r="G13" s="7">
        <v>4000</v>
      </c>
      <c r="H13" s="7">
        <v>15</v>
      </c>
      <c r="I13" s="7">
        <f>H13*300</f>
        <v>4500</v>
      </c>
      <c r="J13" s="7">
        <v>500</v>
      </c>
      <c r="K13" s="8">
        <f t="shared" si="0"/>
        <v>58350</v>
      </c>
    </row>
    <row r="14" spans="2:11" x14ac:dyDescent="0.3">
      <c r="B14" s="7" t="s">
        <v>21</v>
      </c>
      <c r="C14" s="7">
        <v>20</v>
      </c>
      <c r="D14" s="7">
        <f t="shared" si="1"/>
        <v>9000</v>
      </c>
      <c r="E14" s="7">
        <v>600</v>
      </c>
      <c r="F14" s="7">
        <v>2000</v>
      </c>
      <c r="G14" s="7"/>
      <c r="H14" s="7">
        <v>40</v>
      </c>
      <c r="I14" s="7">
        <f>H14*300</f>
        <v>12000</v>
      </c>
      <c r="J14" s="7">
        <v>300</v>
      </c>
      <c r="K14" s="8">
        <f t="shared" si="0"/>
        <v>23900</v>
      </c>
    </row>
    <row r="15" spans="2:11" ht="28.8" x14ac:dyDescent="0.3">
      <c r="B15" s="7" t="s">
        <v>22</v>
      </c>
      <c r="C15" s="7">
        <v>40</v>
      </c>
      <c r="D15" s="7">
        <f t="shared" si="1"/>
        <v>18000</v>
      </c>
      <c r="E15" s="7">
        <v>600</v>
      </c>
      <c r="F15" s="7">
        <v>2000</v>
      </c>
      <c r="G15" s="7"/>
      <c r="H15" s="7"/>
      <c r="I15" s="7"/>
      <c r="J15" s="7"/>
      <c r="K15" s="8">
        <f t="shared" si="0"/>
        <v>20600</v>
      </c>
    </row>
    <row r="16" spans="2:11" x14ac:dyDescent="0.3">
      <c r="B16" s="7" t="s">
        <v>23</v>
      </c>
      <c r="C16" s="7">
        <v>25</v>
      </c>
      <c r="D16" s="7">
        <f t="shared" si="1"/>
        <v>11250</v>
      </c>
      <c r="E16" s="7">
        <v>150</v>
      </c>
      <c r="F16" s="7"/>
      <c r="G16" s="7"/>
      <c r="H16" s="7"/>
      <c r="I16" s="7"/>
      <c r="J16" s="7"/>
      <c r="K16" s="8">
        <f t="shared" si="0"/>
        <v>11400</v>
      </c>
    </row>
    <row r="17" spans="2:11" x14ac:dyDescent="0.3">
      <c r="B17" s="7" t="s">
        <v>24</v>
      </c>
      <c r="C17" s="7">
        <v>120</v>
      </c>
      <c r="D17" s="7">
        <f t="shared" si="1"/>
        <v>54000</v>
      </c>
      <c r="E17" s="7">
        <v>150</v>
      </c>
      <c r="F17" s="7"/>
      <c r="G17" s="7"/>
      <c r="H17" s="7"/>
      <c r="I17" s="7"/>
      <c r="J17" s="7"/>
      <c r="K17" s="8">
        <f t="shared" si="0"/>
        <v>54150</v>
      </c>
    </row>
    <row r="18" spans="2:11" s="2" customFormat="1" x14ac:dyDescent="0.3">
      <c r="B18" s="8" t="s">
        <v>6</v>
      </c>
      <c r="C18" s="8">
        <f>SUM(C5:C17)</f>
        <v>520</v>
      </c>
      <c r="D18" s="8">
        <f t="shared" si="1"/>
        <v>234000</v>
      </c>
      <c r="E18" s="8">
        <f>SUM(E5:E17)</f>
        <v>3300</v>
      </c>
      <c r="F18" s="8">
        <f>SUM(F5:F17)</f>
        <v>10000</v>
      </c>
      <c r="G18" s="8">
        <f>SUM(G5:G17)</f>
        <v>4000</v>
      </c>
      <c r="H18" s="8">
        <f>SUM(H5:H17)</f>
        <v>55</v>
      </c>
      <c r="I18" s="8">
        <f>SUM(I5:I17)</f>
        <v>16500</v>
      </c>
      <c r="J18" s="8">
        <f>SUM(J5:J17)</f>
        <v>800</v>
      </c>
      <c r="K18" s="8">
        <f>SUM(K5:K17)</f>
        <v>268600</v>
      </c>
    </row>
  </sheetData>
  <mergeCells count="8">
    <mergeCell ref="K2:K3"/>
    <mergeCell ref="H3:I3"/>
    <mergeCell ref="H2:I2"/>
    <mergeCell ref="B2:B3"/>
    <mergeCell ref="C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Breytenbach</dc:creator>
  <cp:lastModifiedBy>Breytenbach, PW, Mr [26122146@sun.ac.za]</cp:lastModifiedBy>
  <dcterms:created xsi:type="dcterms:W3CDTF">2015-06-05T18:17:20Z</dcterms:created>
  <dcterms:modified xsi:type="dcterms:W3CDTF">2026-03-02T10:53:51Z</dcterms:modified>
</cp:coreProperties>
</file>