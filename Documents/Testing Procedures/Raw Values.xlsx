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ete\Desktop\Skripsie\Documents\Testing Procedures\"/>
    </mc:Choice>
  </mc:AlternateContent>
  <xr:revisionPtr revIDLastSave="0" documentId="13_ncr:1_{9A40BFF6-3436-42C8-B664-849B23DB435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emperature Probe Calibration" sheetId="1" r:id="rId1"/>
    <sheet name="Digital Temperature Cal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3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<sst xmlns="http://schemas.openxmlformats.org/spreadsheetml/2006/main" count="18" uniqueCount="15">
  <si>
    <t>Input Ref</t>
  </si>
  <si>
    <t>Input Resistance</t>
  </si>
  <si>
    <t>Measured Temperature</t>
  </si>
  <si>
    <t>Calculated Temperature</t>
  </si>
  <si>
    <t>Measurement 1</t>
  </si>
  <si>
    <t>Measurement 2</t>
  </si>
  <si>
    <t>Ref Temperature</t>
  </si>
  <si>
    <t>Time</t>
  </si>
  <si>
    <t>Sensor 1:</t>
  </si>
  <si>
    <t>Sensor 2:</t>
  </si>
  <si>
    <t>Sensor 3:</t>
  </si>
  <si>
    <t>2873C395000000D3</t>
  </si>
  <si>
    <t>2821F096000000D1</t>
  </si>
  <si>
    <t>2970A495000000CA</t>
  </si>
  <si>
    <t>Room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</si>
</sst>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workbookViewId="0">
      <selection activeCell="D11" sqref="D11"/>
    </sheetView>
  </sheetViews>
  <sheetFormatPr defaultRowHeight="14.4" x14ac:dyDescent="0.3"/>
  <cols>
    <col min="3" max="3" width="14.44140625" bestFit="1" customWidth="1"/>
    <col min="4" max="4" width="20.33203125" bestFit="1" customWidth="1"/>
    <col min="5" max="5" width="20.77734375" bestFit="1" customWidth="1"/>
    <col min="6" max="6" width="14.44140625" bestFit="1" customWidth="1"/>
    <col min="7" max="7" width="20.33203125" bestFit="1" customWidth="1"/>
    <col min="8" max="8" width="20.77734375" bestFit="1" customWidth="1"/>
  </cols>
  <sheetData>
    <row r="1" spans="2:8" x14ac:dyDescent="0.3">
      <c r="C1" s="2" t="s">
        <v>4</v>
      </c>
      <c r="D1" s="2"/>
      <c r="E1" s="2"/>
      <c r="F1" s="2" t="s">
        <v>5</v>
      </c>
      <c r="G1" s="2"/>
      <c r="H1" s="2"/>
    </row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1</v>
      </c>
      <c r="G2" t="s">
        <v>2</v>
      </c>
      <c r="H2" t="s">
        <v>3</v>
      </c>
    </row>
    <row r="3" spans="2:8" x14ac:dyDescent="0.3">
      <c r="B3">
        <v>80</v>
      </c>
      <c r="C3">
        <v>130.76499999999999</v>
      </c>
      <c r="D3">
        <v>78.8</v>
      </c>
      <c r="E3">
        <f>(0.00111611*C3^2)+(2.32652102*C3)-243.7648049</f>
        <v>79.547622734774734</v>
      </c>
      <c r="H3">
        <f>(0.00111611*F3^2)+(2.32652102*F3)-243.7648049</f>
        <v>-243.7648049</v>
      </c>
    </row>
    <row r="4" spans="2:8" x14ac:dyDescent="0.3">
      <c r="B4">
        <v>70</v>
      </c>
      <c r="C4">
        <v>127.035</v>
      </c>
      <c r="D4">
        <v>69.2</v>
      </c>
      <c r="E4">
        <f t="shared" ref="E4:E11" si="0">(0.00111611*C4^2)+(2.32652102*C4)-243.7648049</f>
        <v>69.796454650834733</v>
      </c>
      <c r="H4">
        <f t="shared" ref="H4:H11" si="1">(0.00111611*F4^2)+(2.32652102*F4)-243.7648049</f>
        <v>-243.7648049</v>
      </c>
    </row>
    <row r="5" spans="2:8" x14ac:dyDescent="0.3">
      <c r="B5">
        <v>60</v>
      </c>
      <c r="C5">
        <v>123.22199999999999</v>
      </c>
      <c r="D5">
        <v>59.4</v>
      </c>
      <c r="E5">
        <f t="shared" si="0"/>
        <v>59.860404422125214</v>
      </c>
      <c r="H5">
        <f t="shared" si="1"/>
        <v>-243.7648049</v>
      </c>
    </row>
    <row r="6" spans="2:8" x14ac:dyDescent="0.3">
      <c r="B6">
        <v>50</v>
      </c>
      <c r="C6">
        <v>119.42</v>
      </c>
      <c r="D6">
        <v>49.7</v>
      </c>
      <c r="E6">
        <f t="shared" si="0"/>
        <v>49.985332255803996</v>
      </c>
      <c r="H6">
        <f t="shared" si="1"/>
        <v>-243.7648049</v>
      </c>
    </row>
    <row r="7" spans="2:8" x14ac:dyDescent="0.3">
      <c r="B7">
        <v>40</v>
      </c>
      <c r="C7">
        <v>115.58499999999999</v>
      </c>
      <c r="D7">
        <v>39.9</v>
      </c>
      <c r="E7">
        <f t="shared" si="0"/>
        <v>40.057236507944708</v>
      </c>
      <c r="H7">
        <f t="shared" si="1"/>
        <v>-243.7648049</v>
      </c>
    </row>
    <row r="8" spans="2:8" x14ac:dyDescent="0.3">
      <c r="B8">
        <v>30</v>
      </c>
      <c r="C8">
        <v>111.72199999999999</v>
      </c>
      <c r="D8">
        <v>30.1</v>
      </c>
      <c r="E8">
        <f t="shared" si="0"/>
        <v>30.089844191965256</v>
      </c>
      <c r="H8">
        <f t="shared" si="1"/>
        <v>-243.7648049</v>
      </c>
    </row>
    <row r="9" spans="2:8" x14ac:dyDescent="0.3">
      <c r="B9">
        <v>20</v>
      </c>
      <c r="C9">
        <v>107.863</v>
      </c>
      <c r="D9">
        <v>20.399999999999999</v>
      </c>
      <c r="E9">
        <f t="shared" si="0"/>
        <v>20.166031941408562</v>
      </c>
      <c r="H9">
        <f t="shared" si="1"/>
        <v>-243.7648049</v>
      </c>
    </row>
    <row r="10" spans="2:8" x14ac:dyDescent="0.3">
      <c r="B10">
        <v>10</v>
      </c>
      <c r="C10">
        <v>103.952</v>
      </c>
      <c r="D10">
        <v>10.6</v>
      </c>
      <c r="E10">
        <f t="shared" si="0"/>
        <v>10.142413260317426</v>
      </c>
      <c r="H10">
        <f t="shared" si="1"/>
        <v>-243.7648049</v>
      </c>
    </row>
    <row r="11" spans="2:8" x14ac:dyDescent="0.3">
      <c r="B11">
        <v>0</v>
      </c>
      <c r="C11">
        <v>100.084</v>
      </c>
      <c r="D11">
        <v>0.9</v>
      </c>
      <c r="E11">
        <f t="shared" si="0"/>
        <v>0.26258338895218003</v>
      </c>
      <c r="H11">
        <f t="shared" si="1"/>
        <v>-243.7648049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A3C7-D276-4627-AF9A-95DE3C49158B}">
  <dimension ref="B1:H28"/>
  <sheetViews>
    <sheetView tabSelected="1" topLeftCell="B7" workbookViewId="0">
      <selection activeCell="E1" sqref="E1"/>
    </sheetView>
  </sheetViews>
  <sheetFormatPr defaultRowHeight="14.4" x14ac:dyDescent="0.3"/>
  <cols>
    <col min="3" max="3" width="14.88671875" bestFit="1" customWidth="1"/>
    <col min="4" max="4" width="17.5546875" bestFit="1" customWidth="1"/>
    <col min="5" max="5" width="17.33203125" bestFit="1" customWidth="1"/>
    <col min="6" max="6" width="17.5546875" bestFit="1" customWidth="1"/>
  </cols>
  <sheetData>
    <row r="1" spans="2:8" x14ac:dyDescent="0.3">
      <c r="D1" t="s">
        <v>11</v>
      </c>
      <c r="E1" t="s">
        <v>12</v>
      </c>
      <c r="F1" t="s">
        <v>13</v>
      </c>
    </row>
    <row r="2" spans="2:8" x14ac:dyDescent="0.3">
      <c r="B2" t="s">
        <v>7</v>
      </c>
      <c r="C2" t="s">
        <v>6</v>
      </c>
      <c r="D2" t="s">
        <v>8</v>
      </c>
      <c r="E2" t="s">
        <v>9</v>
      </c>
      <c r="F2" t="s">
        <v>10</v>
      </c>
      <c r="H2" t="s">
        <v>14</v>
      </c>
    </row>
    <row r="3" spans="2:8" x14ac:dyDescent="0.3">
      <c r="B3" s="1">
        <v>0</v>
      </c>
      <c r="C3">
        <v>10.6</v>
      </c>
      <c r="D3">
        <v>13</v>
      </c>
      <c r="E3">
        <v>13.01</v>
      </c>
      <c r="F3">
        <v>13.69</v>
      </c>
      <c r="H3">
        <v>20</v>
      </c>
    </row>
    <row r="4" spans="2:8" x14ac:dyDescent="0.3">
      <c r="B4" s="1">
        <v>3.472222222222222E-3</v>
      </c>
      <c r="C4">
        <v>12</v>
      </c>
      <c r="D4">
        <v>13.68</v>
      </c>
      <c r="E4">
        <v>13.87</v>
      </c>
      <c r="F4">
        <v>14.25</v>
      </c>
    </row>
    <row r="5" spans="2:8" x14ac:dyDescent="0.3">
      <c r="B5" s="1">
        <v>6.9444444444444441E-3</v>
      </c>
      <c r="C5">
        <v>12.9</v>
      </c>
      <c r="D5">
        <v>14.31</v>
      </c>
      <c r="E5">
        <v>14.52</v>
      </c>
      <c r="F5">
        <v>14.86</v>
      </c>
    </row>
    <row r="6" spans="2:8" x14ac:dyDescent="0.3">
      <c r="B6" s="1">
        <v>1.1111111111111112E-2</v>
      </c>
      <c r="C6">
        <v>13.7</v>
      </c>
      <c r="D6">
        <v>14.88</v>
      </c>
      <c r="E6">
        <v>15.08</v>
      </c>
      <c r="F6">
        <v>15.38</v>
      </c>
    </row>
    <row r="7" spans="2:8" x14ac:dyDescent="0.3">
      <c r="B7" s="1">
        <v>1.4583333333333334E-2</v>
      </c>
      <c r="C7">
        <v>14.4</v>
      </c>
      <c r="D7">
        <v>15.41</v>
      </c>
      <c r="E7">
        <v>15.59</v>
      </c>
      <c r="F7">
        <v>15.83</v>
      </c>
    </row>
    <row r="8" spans="2:8" x14ac:dyDescent="0.3">
      <c r="B8" s="1">
        <v>1.8055555555555554E-2</v>
      </c>
      <c r="C8">
        <v>15</v>
      </c>
      <c r="D8">
        <v>15.88</v>
      </c>
      <c r="E8">
        <v>16.059999999999999</v>
      </c>
      <c r="F8">
        <v>16.25</v>
      </c>
    </row>
    <row r="9" spans="2:8" x14ac:dyDescent="0.3">
      <c r="B9" s="1">
        <v>2.2222222222222223E-2</v>
      </c>
      <c r="C9">
        <v>15.6</v>
      </c>
      <c r="D9">
        <v>16.260000000000002</v>
      </c>
      <c r="E9">
        <v>16.440000000000001</v>
      </c>
      <c r="F9">
        <v>16.61</v>
      </c>
    </row>
    <row r="11" spans="2:8" x14ac:dyDescent="0.3">
      <c r="B11" s="1">
        <v>0</v>
      </c>
      <c r="C11">
        <v>43.8</v>
      </c>
      <c r="D11">
        <v>40.520000000000003</v>
      </c>
      <c r="E11">
        <v>40.96</v>
      </c>
    </row>
    <row r="12" spans="2:8" x14ac:dyDescent="0.3">
      <c r="B12" s="1">
        <v>3.472222222222222E-3</v>
      </c>
      <c r="C12">
        <v>41.9</v>
      </c>
      <c r="D12">
        <v>38.46</v>
      </c>
      <c r="E12">
        <v>39.04</v>
      </c>
    </row>
    <row r="13" spans="2:8" x14ac:dyDescent="0.3">
      <c r="B13" s="1">
        <v>6.9444444444444441E-3</v>
      </c>
      <c r="C13">
        <v>40</v>
      </c>
      <c r="D13">
        <v>37.31</v>
      </c>
      <c r="E13">
        <v>36.630000000000003</v>
      </c>
    </row>
    <row r="14" spans="2:8" x14ac:dyDescent="0.3">
      <c r="B14" s="1">
        <v>1.1111111111111112E-2</v>
      </c>
      <c r="C14">
        <v>38.299999999999997</v>
      </c>
      <c r="D14">
        <v>35.06</v>
      </c>
      <c r="E14">
        <v>35.82</v>
      </c>
    </row>
    <row r="15" spans="2:8" x14ac:dyDescent="0.3">
      <c r="B15" s="1">
        <v>1.4583333333333334E-2</v>
      </c>
      <c r="C15">
        <v>36.6</v>
      </c>
      <c r="D15">
        <v>33.6</v>
      </c>
      <c r="E15">
        <v>34.44</v>
      </c>
    </row>
    <row r="16" spans="2:8" x14ac:dyDescent="0.3">
      <c r="B16" s="1">
        <v>1.8055555555555554E-2</v>
      </c>
      <c r="C16">
        <v>35.200000000000003</v>
      </c>
      <c r="D16">
        <v>32.31</v>
      </c>
      <c r="E16">
        <v>33.26</v>
      </c>
    </row>
    <row r="17" spans="2:5" x14ac:dyDescent="0.3">
      <c r="B17" s="1">
        <v>2.2222222222222223E-2</v>
      </c>
      <c r="C17">
        <v>34</v>
      </c>
      <c r="D17">
        <v>31.17</v>
      </c>
      <c r="E17">
        <v>32.18</v>
      </c>
    </row>
    <row r="18" spans="2:5" x14ac:dyDescent="0.3">
      <c r="B18" s="1">
        <v>2.5694444444444443E-2</v>
      </c>
      <c r="C18">
        <v>32.799999999999997</v>
      </c>
      <c r="D18">
        <v>30.14</v>
      </c>
      <c r="E18">
        <v>31.23</v>
      </c>
    </row>
    <row r="19" spans="2:5" x14ac:dyDescent="0.3">
      <c r="B19" s="1">
        <v>2.9166666666666667E-2</v>
      </c>
      <c r="C19">
        <v>31.7</v>
      </c>
      <c r="D19">
        <v>29.12</v>
      </c>
      <c r="E19">
        <v>30.31</v>
      </c>
    </row>
    <row r="20" spans="2:5" x14ac:dyDescent="0.3">
      <c r="B20" s="1">
        <v>3.3333333333333333E-2</v>
      </c>
      <c r="C20">
        <v>30.7</v>
      </c>
      <c r="D20">
        <v>28.32</v>
      </c>
      <c r="E20">
        <v>29.58</v>
      </c>
    </row>
    <row r="21" spans="2:5" x14ac:dyDescent="0.3">
      <c r="B21" s="1">
        <v>3.6805555555555557E-2</v>
      </c>
      <c r="C21">
        <v>29.8</v>
      </c>
      <c r="D21">
        <v>27.55</v>
      </c>
      <c r="E21">
        <v>28.89</v>
      </c>
    </row>
    <row r="22" spans="2:5" x14ac:dyDescent="0.3">
      <c r="B22" s="1">
        <v>4.027777777777778E-2</v>
      </c>
      <c r="C22">
        <v>29.1</v>
      </c>
      <c r="D22">
        <v>26.88</v>
      </c>
      <c r="E22">
        <v>28.36</v>
      </c>
    </row>
    <row r="23" spans="2:5" x14ac:dyDescent="0.3">
      <c r="B23" s="1">
        <v>4.4444444444444446E-2</v>
      </c>
      <c r="C23">
        <v>28.4</v>
      </c>
      <c r="D23">
        <v>26.38</v>
      </c>
      <c r="E23">
        <v>27.83</v>
      </c>
    </row>
    <row r="24" spans="2:5" x14ac:dyDescent="0.3">
      <c r="B24" s="1">
        <v>4.791666666666667E-2</v>
      </c>
      <c r="C24">
        <v>27.9</v>
      </c>
      <c r="D24">
        <v>25.83</v>
      </c>
      <c r="E24">
        <v>27.4</v>
      </c>
    </row>
    <row r="25" spans="2:5" x14ac:dyDescent="0.3">
      <c r="B25" s="1">
        <v>5.2083333333333336E-2</v>
      </c>
      <c r="C25">
        <v>27.2</v>
      </c>
      <c r="D25">
        <v>25.31</v>
      </c>
      <c r="E25">
        <v>26.93</v>
      </c>
    </row>
    <row r="26" spans="2:5" x14ac:dyDescent="0.3">
      <c r="B26" s="1">
        <v>5.5555555555555552E-2</v>
      </c>
      <c r="C26">
        <v>26.7</v>
      </c>
      <c r="D26">
        <v>24.89</v>
      </c>
      <c r="E26">
        <v>26.64</v>
      </c>
    </row>
    <row r="27" spans="2:5" x14ac:dyDescent="0.3">
      <c r="B27" s="1">
        <v>5.9027777777777776E-2</v>
      </c>
      <c r="C27">
        <v>26.2</v>
      </c>
      <c r="D27">
        <v>24.54</v>
      </c>
      <c r="E27">
        <v>26.31</v>
      </c>
    </row>
    <row r="28" spans="2:5" x14ac:dyDescent="0.3">
      <c r="B28" s="1">
        <v>6.3194444444444442E-2</v>
      </c>
      <c r="C28">
        <v>25.9</v>
      </c>
      <c r="D28">
        <v>24.16</v>
      </c>
      <c r="E28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 Probe Calibration</vt:lpstr>
      <vt:lpstr>Digital Temperature 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2026-05-23T23:34:41Z</dcterms:modified>
</cp:coreProperties>
</file>